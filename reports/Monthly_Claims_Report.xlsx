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nthly Trend" sheetId="2" state="visible" r:id="rId4"/>
    <sheet name="Line of Business" sheetId="3" state="visible" r:id="rId5"/>
    <sheet name="Denials" sheetId="4" state="visible" r:id="rId6"/>
    <sheet name="SLA" sheetId="5" state="visible" r:id="rId7"/>
    <sheet name="Data Qual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<sst xmlns="http://schemas.openxmlformats.org/spreadsheetml/2006/main" count="229" uniqueCount="115">
  <si>
    <t xml:space="preserve">Claims Performance Report - Jan 2024 to Dec 2025</t>
  </si>
  <si>
    <t xml:space="preserve">Synthetic data for portfolio purposes. Blue = source data; black = formula.</t>
  </si>
  <si>
    <t xml:space="preserve">KPI</t>
  </si>
  <si>
    <t xml:space="preserve">Value</t>
  </si>
  <si>
    <t xml:space="preserve">Total claims</t>
  </si>
  <si>
    <t xml:space="preserve">Total paid</t>
  </si>
  <si>
    <t xml:space="preserve">Member months</t>
  </si>
  <si>
    <t xml:space="preserve">Paid PMPM (overall)</t>
  </si>
  <si>
    <t xml:space="preserve">Denied claims</t>
  </si>
  <si>
    <t xml:space="preserve">Denial rate</t>
  </si>
  <si>
    <t xml:space="preserve">Allowed $ at risk from denials</t>
  </si>
  <si>
    <t xml:space="preserve">DQ tests failing on RAW</t>
  </si>
  <si>
    <t xml:space="preserve">DQ tests failing on CLEAN</t>
  </si>
  <si>
    <t xml:space="preserve">Note: Dec 2025 paid is understated - claims still pending / not yet received (claims run-out lag).</t>
  </si>
  <si>
    <t xml:space="preserve">Year Month</t>
  </si>
  <si>
    <t xml:space="preserve">Claims</t>
  </si>
  <si>
    <t xml:space="preserve">Paid</t>
  </si>
  <si>
    <t xml:space="preserve">Member Months</t>
  </si>
  <si>
    <t xml:space="preserve">Paid PMPM</t>
  </si>
  <si>
    <t xml:space="preserve">PMPM MoM %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</si>
  <si>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</si>
  <si>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</si>
  <si>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</si>
  <si>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</si>
  <si>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</si>
  <si>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</si>
  <si>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</si>
  <si>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</si>
  <si>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</si>
  <si>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</si>
  <si>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</si>
  <si>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</si>
  <si>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</si>
  <si>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</si>
  <si>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</si>
  <si>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</si>
  <si>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</si>
  <si>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</si>
  <si>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</si>
  <si>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</si>
  <si>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</si>
  <si>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</si>
  <si>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</si>
  <si>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</si>
  <si>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Line Of Business</t>
  </si>
  <si>
    <t xml:space="preserve">Paid Pmpm</t>
  </si>
  <si>
    <t xml:space="preserve">Claims Per 1000 Per Year</t>
  </si>
  <si>
    <t xml:space="preserve">Medicare Advantage</t>
  </si>
  <si>
    <t xml:space="preserve">Medicaid</t>
  </si>
  <si>
    <t xml:space="preserve">Commercial</t>
  </si>
  <si>
    <t xml:space="preserve">Denial Reason</t>
  </si>
  <si>
    <t xml:space="preserve">Denied Claims</t>
  </si>
  <si>
    <t xml:space="preserve">Allowed Value At Risk</t>
  </si>
  <si>
    <t xml:space="preserve">% of Denials</t>
  </si>
  <si>
    <t xml:space="preserve">Missing prior authorization</t>
  </si>
  <si>
    <t xml:space="preserve">Out-of-network provider</t>
  </si>
  <si>
    <t xml:space="preserve">Missing/invalid information</t>
  </si>
  <si>
    <t xml:space="preserve">Duplicate claim submission</t>
  </si>
  <si>
    <t xml:space="preserve">Service not covered</t>
  </si>
  <si>
    <t xml:space="preserve">Timely filing limit exceeded</t>
  </si>
  <si>
    <t xml:space="preserve">Total</t>
  </si>
  <si>
    <t xml:space="preserve">Claim Type</t>
  </si>
  <si>
    <t xml:space="preserve">Processed Claims</t>
  </si>
  <si>
    <t xml:space="preserve">Avg Tat Days</t>
  </si>
  <si>
    <t xml:space="preserve">Max Tat Days</t>
  </si>
  <si>
    <t xml:space="preserve">Pct Within Sla</t>
  </si>
  <si>
    <t xml:space="preserve">Sla Breaches</t>
  </si>
  <si>
    <t xml:space="preserve">Inpatient</t>
  </si>
  <si>
    <t xml:space="preserve">Outpatient</t>
  </si>
  <si>
    <t xml:space="preserve">Pharmacy</t>
  </si>
  <si>
    <t xml:space="preserve">Professional</t>
  </si>
  <si>
    <t xml:space="preserve">Stage</t>
  </si>
  <si>
    <t xml:space="preserve">Test Case Id</t>
  </si>
  <si>
    <t xml:space="preserve">Rule</t>
  </si>
  <si>
    <t xml:space="preserve">Severity</t>
  </si>
  <si>
    <t xml:space="preserve">Rows Failed</t>
  </si>
  <si>
    <t xml:space="preserve">Status</t>
  </si>
  <si>
    <t xml:space="preserve">RAW</t>
  </si>
  <si>
    <t xml:space="preserve">DQ-01</t>
  </si>
  <si>
    <t xml:space="preserve">claim_id is unique (no duplicate submissions)</t>
  </si>
  <si>
    <t xml:space="preserve">Critical</t>
  </si>
  <si>
    <t xml:space="preserve">FAIL</t>
  </si>
  <si>
    <t xml:space="preserve">DQ-02</t>
  </si>
  <si>
    <t xml:space="preserve">claim_id is not null</t>
  </si>
  <si>
    <t xml:space="preserve">PASS</t>
  </si>
  <si>
    <t xml:space="preserve">DQ-03</t>
  </si>
  <si>
    <t xml:space="preserve">member_id exists in members (referential integrity)</t>
  </si>
  <si>
    <t xml:space="preserve">DQ-04</t>
  </si>
  <si>
    <t xml:space="preserve">provider_id is not null</t>
  </si>
  <si>
    <t xml:space="preserve">DQ-05</t>
  </si>
  <si>
    <t xml:space="preserve">provider_id exists in providers</t>
  </si>
  <si>
    <t xml:space="preserve">High</t>
  </si>
  <si>
    <t xml:space="preserve">DQ-06</t>
  </si>
  <si>
    <t xml:space="preserve">billed_amount &gt; 0</t>
  </si>
  <si>
    <t xml:space="preserve">DQ-07</t>
  </si>
  <si>
    <t xml:space="preserve">paid_amount &lt;= allowed_amount &lt;= billed_amount</t>
  </si>
  <si>
    <t xml:space="preserve">DQ-08</t>
  </si>
  <si>
    <t xml:space="preserve">claim_status in allowed list {Paid, Denied, Pending}</t>
  </si>
  <si>
    <t xml:space="preserve">Medium</t>
  </si>
  <si>
    <t xml:space="preserve">DQ-09</t>
  </si>
  <si>
    <t xml:space="preserve">Denied claims have paid_amount = 0</t>
  </si>
  <si>
    <t xml:space="preserve">DQ-10</t>
  </si>
  <si>
    <t xml:space="preserve">Denied claims carry a denial_reason</t>
  </si>
  <si>
    <t xml:space="preserve">DQ-11</t>
  </si>
  <si>
    <t xml:space="preserve">service_date not in the future</t>
  </si>
  <si>
    <t xml:space="preserve">DQ-12</t>
  </si>
  <si>
    <t xml:space="preserve">processed_date &gt;= received_date</t>
  </si>
  <si>
    <t xml:space="preserve">DQ-13</t>
  </si>
  <si>
    <t xml:space="preserve">received_date &gt;= service_date</t>
  </si>
  <si>
    <t xml:space="preserve">DQ-14</t>
  </si>
  <si>
    <t xml:space="preserve">diagnosis_code matches ICD-10 format</t>
  </si>
  <si>
    <t xml:space="preserve">DQ-15</t>
  </si>
  <si>
    <t xml:space="preserve">Pending claims have no processed_date</t>
  </si>
  <si>
    <t xml:space="preserve">Low</t>
  </si>
  <si>
    <t xml:space="preserve">CLEAN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</si>
</sst>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\$#,##0.00"/>
    <numFmt numFmtId="168" formatCode="0.0%"/>
    <numFmt numFmtId="169" formatCode="0"/>
    <numFmt numFmtId="170" formatCode="\$#,##0;&quot;($&quot;#,##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Paid PMPM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Trend'!E1</c:f>
              <c:strCache>
                <c:ptCount val="1"/>
                <c:pt idx="0">
                  <c:v>Paid PMPM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'Monthly Trend'!$E$2:$E$25</c:f>
              <c:numCache>
                <c:formatCode>\$#,##0.00</c:formatCode>
                <c:ptCount val="24"/>
                <c:pt idx="0">
                  <c:v>581.098976711362</c:v>
                </c:pt>
                <c:pt idx="1">
                  <c:v>478.607494387843</c:v>
                </c:pt>
                <c:pt idx="2">
                  <c:v>307.167286245353</c:v>
                </c:pt>
                <c:pt idx="3">
                  <c:v>306.955544538093</c:v>
                </c:pt>
                <c:pt idx="4">
                  <c:v>325.349281515349</c:v>
                </c:pt>
                <c:pt idx="5">
                  <c:v>282.038517324738</c:v>
                </c:pt>
                <c:pt idx="6">
                  <c:v>277.39707053017</c:v>
                </c:pt>
                <c:pt idx="7">
                  <c:v>338.316087435131</c:v>
                </c:pt>
                <c:pt idx="8">
                  <c:v>285.136843740292</c:v>
                </c:pt>
                <c:pt idx="9">
                  <c:v>320.158170337286</c:v>
                </c:pt>
                <c:pt idx="10">
                  <c:v>297.366472927501</c:v>
                </c:pt>
                <c:pt idx="11">
                  <c:v>447.501818181818</c:v>
                </c:pt>
                <c:pt idx="12">
                  <c:v>463.536808894231</c:v>
                </c:pt>
                <c:pt idx="13">
                  <c:v>456.253049687593</c:v>
                </c:pt>
                <c:pt idx="14">
                  <c:v>250.447728275254</c:v>
                </c:pt>
                <c:pt idx="15">
                  <c:v>295.08326042578</c:v>
                </c:pt>
                <c:pt idx="16">
                  <c:v>384.080831408776</c:v>
                </c:pt>
                <c:pt idx="17">
                  <c:v>376.094075660243</c:v>
                </c:pt>
                <c:pt idx="18">
                  <c:v>344.228808705613</c:v>
                </c:pt>
                <c:pt idx="19">
                  <c:v>330.293204999282</c:v>
                </c:pt>
                <c:pt idx="20">
                  <c:v>306.053268067953</c:v>
                </c:pt>
                <c:pt idx="21">
                  <c:v>334.596498842593</c:v>
                </c:pt>
                <c:pt idx="22">
                  <c:v>323.154203571947</c:v>
                </c:pt>
                <c:pt idx="23">
                  <c:v>170.414325229291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344257"/>
        <c:axId val="31305702"/>
      </c:lineChart>
      <c:catAx>
        <c:axId val="803442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05702"/>
        <c:crosses val="autoZero"/>
        <c:auto val="1"/>
        <c:lblAlgn val="ctr"/>
        <c:lblOffset val="100"/>
        <c:noMultiLvlLbl val="0"/>
      </c:catAx>
      <c:valAx>
        <c:axId val="31305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PMPM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44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Denied Claims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Denials!B1</c:f>
              <c:strCache>
                <c:ptCount val="1"/>
                <c:pt idx="0">
                  <c:v>Denied Claims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Denials!$A$2:$A$7</c:f>
              <c:strCache>
                <c:ptCount val="6"/>
                <c:pt idx="0">
                  <c:v>Missing prior authorization</c:v>
                </c:pt>
                <c:pt idx="1">
                  <c:v>Out-of-network provider</c:v>
                </c:pt>
                <c:pt idx="2">
                  <c:v>Missing/invalid information</c:v>
                </c:pt>
                <c:pt idx="3">
                  <c:v>Duplicate claim submission</c:v>
                </c:pt>
                <c:pt idx="4">
                  <c:v>Service not covered</c:v>
                </c:pt>
                <c:pt idx="5">
                  <c:v>Timely filing limit exceeded</c:v>
                </c:pt>
              </c:strCache>
            </c:strRef>
          </c:cat>
          <c:val>
            <c:numRef>
              <c:f>Denials!$B$2:$B$7</c:f>
              <c:numCache>
                <c:formatCode>General</c:formatCode>
                <c:ptCount val="6"/>
                <c:pt idx="0">
                  <c:v>1533</c:v>
                </c:pt>
                <c:pt idx="1">
                  <c:v>1386</c:v>
                </c:pt>
                <c:pt idx="2">
                  <c:v>973</c:v>
                </c:pt>
                <c:pt idx="3">
                  <c:v>769</c:v>
                </c:pt>
                <c:pt idx="4">
                  <c:v>746</c:v>
                </c:pt>
                <c:pt idx="5">
                  <c:v>403</c:v>
                </c:pt>
              </c:numCache>
            </c:numRef>
          </c:val>
        </c:ser>
        <c:gapWidth val="150"/>
        <c:overlap val="0"/>
        <c:axId val="44926022"/>
        <c:axId val="88010789"/>
      </c:barChart>
      <c:catAx>
        <c:axId val="449260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10789"/>
        <c:crosses val="autoZero"/>
        <c:auto val="1"/>
        <c:lblAlgn val="ctr"/>
        <c:lblOffset val="100"/>
        <c:noMultiLvlLbl val="0"/>
      </c:catAx>
      <c:valAx>
        <c:axId val="88010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260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17</xdr:col>
      <xdr:colOff>364680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674388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538164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SUM('Monthly Trend'!B2:B25)</f>
        <v>58922</v>
      </c>
    </row>
    <row r="6" customFormat="false" ht="15" hidden="false" customHeight="false" outlineLevel="0" collapsed="false">
      <c r="A6" s="4" t="s">
        <v>5</v>
      </c>
      <c r="B6" s="6" t="n">
        <f aca="false">SUM('Monthly Trend'!C2:C25)</f>
        <v>53901494</v>
      </c>
    </row>
    <row r="7" customFormat="false" ht="15" hidden="false" customHeight="false" outlineLevel="0" collapsed="false">
      <c r="A7" s="4" t="s">
        <v>6</v>
      </c>
      <c r="B7" s="5" t="n">
        <f aca="false">SUM('Monthly Trend'!D2:D25)</f>
        <v>156995</v>
      </c>
    </row>
    <row r="8" customFormat="false" ht="15" hidden="false" customHeight="false" outlineLevel="0" collapsed="false">
      <c r="A8" s="4" t="s">
        <v>7</v>
      </c>
      <c r="B8" s="7" t="n">
        <f aca="false">B6/B7</f>
        <v>343.332551992102</v>
      </c>
    </row>
    <row r="9" customFormat="false" ht="15" hidden="false" customHeight="false" outlineLevel="0" collapsed="false">
      <c r="A9" s="4" t="s">
        <v>8</v>
      </c>
      <c r="B9" s="5" t="n">
        <f aca="false">Denials!B8</f>
        <v>5810</v>
      </c>
    </row>
    <row r="10" customFormat="false" ht="15" hidden="false" customHeight="false" outlineLevel="0" collapsed="false">
      <c r="A10" s="4" t="s">
        <v>9</v>
      </c>
      <c r="B10" s="8" t="n">
        <f aca="false">B9/B5</f>
        <v>0.0986049353382438</v>
      </c>
    </row>
    <row r="11" customFormat="false" ht="15" hidden="false" customHeight="false" outlineLevel="0" collapsed="false">
      <c r="A11" s="4" t="s">
        <v>10</v>
      </c>
      <c r="B11" s="6" t="n">
        <f aca="false">Denials!C8</f>
        <v>7762058</v>
      </c>
    </row>
    <row r="12" customFormat="false" ht="15" hidden="false" customHeight="false" outlineLevel="0" collapsed="false">
      <c r="A12" s="4" t="s">
        <v>11</v>
      </c>
      <c r="B12" s="9" t="n">
        <f aca="false">COUNTIFS('Data Quality'!A:A,"RAW",'Data Quality'!F:F,"FAIL")</f>
        <v>12</v>
      </c>
    </row>
    <row r="13" customFormat="false" ht="15" hidden="false" customHeight="false" outlineLevel="0" collapsed="false">
      <c r="A13" s="4" t="s">
        <v>12</v>
      </c>
      <c r="B13" s="9" t="n">
        <f aca="false">COUNTIFS('Data Quality'!A:A,"CLEAN",'Data Quality'!F:F,"FAIL")</f>
        <v>0</v>
      </c>
    </row>
    <row r="15" customFormat="false" ht="15" hidden="false" customHeight="false" outlineLevel="0" collapsed="false">
      <c r="A15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7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0" t="s">
        <v>14</v>
      </c>
      <c r="B1" s="10" t="s">
        <v>15</v>
      </c>
      <c r="C1" s="10" t="s">
        <v>16</v>
      </c>
      <c r="D1" s="10" t="s">
        <v>17</v>
      </c>
      <c r="E1" s="3" t="s">
        <v>18</v>
      </c>
      <c r="F1" s="3" t="s">
        <v>19</v>
      </c>
    </row>
    <row r="2" customFormat="false" ht="15" hidden="false" customHeight="false" outlineLevel="0" collapsed="false">
      <c r="A2" s="4" t="s">
        <v>20</v>
      </c>
      <c r="B2" s="11" t="n">
        <v>3190</v>
      </c>
      <c r="C2" s="12" t="n">
        <v>3293669</v>
      </c>
      <c r="D2" s="11" t="n">
        <v>5668</v>
      </c>
      <c r="E2" s="13" t="n">
        <f aca="false">C2/D2</f>
        <v>581.098976711362</v>
      </c>
      <c r="F2" s="14"/>
    </row>
    <row r="3" customFormat="false" ht="15" hidden="false" customHeight="false" outlineLevel="0" collapsed="false">
      <c r="A3" s="4" t="s">
        <v>21</v>
      </c>
      <c r="B3" s="11" t="n">
        <v>3055</v>
      </c>
      <c r="C3" s="12" t="n">
        <v>2771616</v>
      </c>
      <c r="D3" s="11" t="n">
        <v>5791</v>
      </c>
      <c r="E3" s="13" t="n">
        <f aca="false">C3/D3</f>
        <v>478.607494387843</v>
      </c>
      <c r="F3" s="14" t="n">
        <f aca="false">E3/E2-1</f>
        <v>-0.176375258658264</v>
      </c>
    </row>
    <row r="4" customFormat="false" ht="15" hidden="false" customHeight="false" outlineLevel="0" collapsed="false">
      <c r="A4" s="4" t="s">
        <v>22</v>
      </c>
      <c r="B4" s="11" t="n">
        <v>2127</v>
      </c>
      <c r="C4" s="12" t="n">
        <v>1817816</v>
      </c>
      <c r="D4" s="11" t="n">
        <v>5918</v>
      </c>
      <c r="E4" s="13" t="n">
        <f aca="false">C4/D4</f>
        <v>307.167286245353</v>
      </c>
      <c r="F4" s="14" t="n">
        <f aca="false">E4/E3-1</f>
        <v>-0.358206275816404</v>
      </c>
    </row>
    <row r="5" customFormat="false" ht="15" hidden="false" customHeight="false" outlineLevel="0" collapsed="false">
      <c r="A5" s="4" t="s">
        <v>23</v>
      </c>
      <c r="B5" s="11" t="n">
        <v>2073</v>
      </c>
      <c r="C5" s="12" t="n">
        <v>1857388</v>
      </c>
      <c r="D5" s="11" t="n">
        <v>6051</v>
      </c>
      <c r="E5" s="13" t="n">
        <f aca="false">C5/D5</f>
        <v>306.955544538093</v>
      </c>
      <c r="F5" s="14" t="n">
        <f aca="false">E5/E4-1</f>
        <v>-0.000689336777521254</v>
      </c>
    </row>
    <row r="6" customFormat="false" ht="15" hidden="false" customHeight="false" outlineLevel="0" collapsed="false">
      <c r="A6" s="4" t="s">
        <v>24</v>
      </c>
      <c r="B6" s="11" t="n">
        <v>2070</v>
      </c>
      <c r="C6" s="12" t="n">
        <v>1992439</v>
      </c>
      <c r="D6" s="11" t="n">
        <v>6124</v>
      </c>
      <c r="E6" s="13" t="n">
        <f aca="false">C6/D6</f>
        <v>325.349281515349</v>
      </c>
      <c r="F6" s="14" t="n">
        <f aca="false">E6/E5-1</f>
        <v>0.0599231299272849</v>
      </c>
    </row>
    <row r="7" customFormat="false" ht="15" hidden="false" customHeight="false" outlineLevel="0" collapsed="false">
      <c r="A7" s="4" t="s">
        <v>25</v>
      </c>
      <c r="B7" s="11" t="n">
        <v>2000</v>
      </c>
      <c r="C7" s="12" t="n">
        <v>1750049</v>
      </c>
      <c r="D7" s="11" t="n">
        <v>6205</v>
      </c>
      <c r="E7" s="13" t="n">
        <f aca="false">C7/D7</f>
        <v>282.038517324738</v>
      </c>
      <c r="F7" s="14" t="n">
        <f aca="false">E7/E6-1</f>
        <v>-0.13312082322385</v>
      </c>
    </row>
    <row r="8" customFormat="false" ht="15" hidden="false" customHeight="false" outlineLevel="0" collapsed="false">
      <c r="A8" s="4" t="s">
        <v>26</v>
      </c>
      <c r="B8" s="11" t="n">
        <v>2041</v>
      </c>
      <c r="C8" s="12" t="n">
        <v>1742331</v>
      </c>
      <c r="D8" s="11" t="n">
        <v>6281</v>
      </c>
      <c r="E8" s="13" t="n">
        <f aca="false">C8/D8</f>
        <v>277.39707053017</v>
      </c>
      <c r="F8" s="14" t="n">
        <f aca="false">E8/E7-1</f>
        <v>-0.0164567834159459</v>
      </c>
    </row>
    <row r="9" customFormat="false" ht="15" hidden="false" customHeight="false" outlineLevel="0" collapsed="false">
      <c r="A9" s="4" t="s">
        <v>27</v>
      </c>
      <c r="B9" s="11" t="n">
        <v>2085</v>
      </c>
      <c r="C9" s="12" t="n">
        <v>2151352</v>
      </c>
      <c r="D9" s="11" t="n">
        <v>6359</v>
      </c>
      <c r="E9" s="13" t="n">
        <f aca="false">C9/D9</f>
        <v>338.316087435131</v>
      </c>
      <c r="F9" s="14" t="n">
        <f aca="false">E9/E8-1</f>
        <v>0.21960944572533</v>
      </c>
    </row>
    <row r="10" customFormat="false" ht="15" hidden="false" customHeight="false" outlineLevel="0" collapsed="false">
      <c r="A10" s="4" t="s">
        <v>28</v>
      </c>
      <c r="B10" s="11" t="n">
        <v>1973</v>
      </c>
      <c r="C10" s="12" t="n">
        <v>1835711</v>
      </c>
      <c r="D10" s="11" t="n">
        <v>6438</v>
      </c>
      <c r="E10" s="13" t="n">
        <f aca="false">C10/D10</f>
        <v>285.136843740292</v>
      </c>
      <c r="F10" s="14" t="n">
        <f aca="false">E10/E9-1</f>
        <v>-0.157188042986681</v>
      </c>
    </row>
    <row r="11" customFormat="false" ht="15" hidden="false" customHeight="false" outlineLevel="0" collapsed="false">
      <c r="A11" s="4" t="s">
        <v>29</v>
      </c>
      <c r="B11" s="11" t="n">
        <v>2065</v>
      </c>
      <c r="C11" s="12" t="n">
        <v>2078787</v>
      </c>
      <c r="D11" s="11" t="n">
        <v>6493</v>
      </c>
      <c r="E11" s="13" t="n">
        <f aca="false">C11/D11</f>
        <v>320.158170337286</v>
      </c>
      <c r="F11" s="14" t="n">
        <f aca="false">E11/E10-1</f>
        <v>0.122822873879085</v>
      </c>
    </row>
    <row r="12" customFormat="false" ht="15" hidden="false" customHeight="false" outlineLevel="0" collapsed="false">
      <c r="A12" s="4" t="s">
        <v>30</v>
      </c>
      <c r="B12" s="11" t="n">
        <v>1915</v>
      </c>
      <c r="C12" s="12" t="n">
        <v>1944182</v>
      </c>
      <c r="D12" s="11" t="n">
        <v>6538</v>
      </c>
      <c r="E12" s="13" t="n">
        <f aca="false">C12/D12</f>
        <v>297.366472927501</v>
      </c>
      <c r="F12" s="14" t="n">
        <f aca="false">E12/E11-1</f>
        <v>-0.0711888670083745</v>
      </c>
    </row>
    <row r="13" customFormat="false" ht="15" hidden="false" customHeight="false" outlineLevel="0" collapsed="false">
      <c r="A13" s="4" t="s">
        <v>31</v>
      </c>
      <c r="B13" s="11" t="n">
        <v>3134</v>
      </c>
      <c r="C13" s="12" t="n">
        <v>2953512</v>
      </c>
      <c r="D13" s="11" t="n">
        <v>6600</v>
      </c>
      <c r="E13" s="13" t="n">
        <f aca="false">C13/D13</f>
        <v>447.501818181818</v>
      </c>
      <c r="F13" s="14" t="n">
        <f aca="false">E13/E12-1</f>
        <v>0.504883229693891</v>
      </c>
    </row>
    <row r="14" customFormat="false" ht="15" hidden="false" customHeight="false" outlineLevel="0" collapsed="false">
      <c r="A14" s="4" t="s">
        <v>32</v>
      </c>
      <c r="B14" s="11" t="n">
        <v>3286</v>
      </c>
      <c r="C14" s="12" t="n">
        <v>3085301</v>
      </c>
      <c r="D14" s="11" t="n">
        <v>6656</v>
      </c>
      <c r="E14" s="13" t="n">
        <f aca="false">C14/D14</f>
        <v>463.536808894231</v>
      </c>
      <c r="F14" s="14" t="n">
        <f aca="false">E14/E13-1</f>
        <v>0.0358322358947325</v>
      </c>
    </row>
    <row r="15" customFormat="false" ht="15" hidden="false" customHeight="false" outlineLevel="0" collapsed="false">
      <c r="A15" s="4" t="s">
        <v>33</v>
      </c>
      <c r="B15" s="11" t="n">
        <v>3047</v>
      </c>
      <c r="C15" s="12" t="n">
        <v>3066933</v>
      </c>
      <c r="D15" s="11" t="n">
        <v>6722</v>
      </c>
      <c r="E15" s="13" t="n">
        <f aca="false">C15/D15</f>
        <v>456.253049687593</v>
      </c>
      <c r="F15" s="14" t="n">
        <f aca="false">E15/E14-1</f>
        <v>-0.0157134429604701</v>
      </c>
    </row>
    <row r="16" customFormat="false" ht="15" hidden="false" customHeight="false" outlineLevel="0" collapsed="false">
      <c r="A16" s="4" t="s">
        <v>34</v>
      </c>
      <c r="B16" s="11" t="n">
        <v>2136</v>
      </c>
      <c r="C16" s="12" t="n">
        <v>1703295</v>
      </c>
      <c r="D16" s="11" t="n">
        <v>6801</v>
      </c>
      <c r="E16" s="13" t="n">
        <f aca="false">C16/D16</f>
        <v>250.447728275254</v>
      </c>
      <c r="F16" s="14" t="n">
        <f aca="false">E16/E15-1</f>
        <v>-0.451077141409266</v>
      </c>
    </row>
    <row r="17" customFormat="false" ht="15" hidden="false" customHeight="false" outlineLevel="0" collapsed="false">
      <c r="A17" s="4" t="s">
        <v>35</v>
      </c>
      <c r="B17" s="11" t="n">
        <v>2194</v>
      </c>
      <c r="C17" s="12" t="n">
        <v>2023681</v>
      </c>
      <c r="D17" s="11" t="n">
        <v>6858</v>
      </c>
      <c r="E17" s="13" t="n">
        <f aca="false">C17/D17</f>
        <v>295.08326042578</v>
      </c>
      <c r="F17" s="14" t="n">
        <f aca="false">E17/E16-1</f>
        <v>0.178222946791795</v>
      </c>
    </row>
    <row r="18" customFormat="false" ht="15" hidden="false" customHeight="false" outlineLevel="0" collapsed="false">
      <c r="A18" s="4" t="s">
        <v>36</v>
      </c>
      <c r="B18" s="11" t="n">
        <v>2328</v>
      </c>
      <c r="C18" s="12" t="n">
        <v>2660912</v>
      </c>
      <c r="D18" s="11" t="n">
        <v>6928</v>
      </c>
      <c r="E18" s="13" t="n">
        <f aca="false">C18/D18</f>
        <v>384.080831408776</v>
      </c>
      <c r="F18" s="14" t="n">
        <f aca="false">E18/E17-1</f>
        <v>0.301601557657252</v>
      </c>
    </row>
    <row r="19" customFormat="false" ht="15" hidden="false" customHeight="false" outlineLevel="0" collapsed="false">
      <c r="A19" s="4" t="s">
        <v>37</v>
      </c>
      <c r="B19" s="11" t="n">
        <v>2421</v>
      </c>
      <c r="C19" s="12" t="n">
        <v>2634539</v>
      </c>
      <c r="D19" s="11" t="n">
        <v>7005</v>
      </c>
      <c r="E19" s="13" t="n">
        <f aca="false">C19/D19</f>
        <v>376.094075660243</v>
      </c>
      <c r="F19" s="14" t="n">
        <f aca="false">E19/E18-1</f>
        <v>-0.0207944658920846</v>
      </c>
    </row>
    <row r="20" customFormat="false" ht="15" hidden="false" customHeight="false" outlineLevel="0" collapsed="false">
      <c r="A20" s="4" t="s">
        <v>38</v>
      </c>
      <c r="B20" s="11" t="n">
        <v>2455</v>
      </c>
      <c r="C20" s="12" t="n">
        <v>2404094</v>
      </c>
      <c r="D20" s="11" t="n">
        <v>6984</v>
      </c>
      <c r="E20" s="13" t="n">
        <f aca="false">C20/D20</f>
        <v>344.228808705613</v>
      </c>
      <c r="F20" s="14" t="n">
        <f aca="false">E20/E19-1</f>
        <v>-0.0847268516492571</v>
      </c>
    </row>
    <row r="21" customFormat="false" ht="15" hidden="false" customHeight="false" outlineLevel="0" collapsed="false">
      <c r="A21" s="4" t="s">
        <v>39</v>
      </c>
      <c r="B21" s="11" t="n">
        <v>2524</v>
      </c>
      <c r="C21" s="12" t="n">
        <v>2299171</v>
      </c>
      <c r="D21" s="11" t="n">
        <v>6961</v>
      </c>
      <c r="E21" s="13" t="n">
        <f aca="false">C21/D21</f>
        <v>330.293204999282</v>
      </c>
      <c r="F21" s="14" t="n">
        <f aca="false">E21/E20-1</f>
        <v>-0.0404835485987721</v>
      </c>
    </row>
    <row r="22" customFormat="false" ht="15" hidden="false" customHeight="false" outlineLevel="0" collapsed="false">
      <c r="A22" s="4" t="s">
        <v>40</v>
      </c>
      <c r="B22" s="11" t="n">
        <v>2406</v>
      </c>
      <c r="C22" s="12" t="n">
        <v>2125846</v>
      </c>
      <c r="D22" s="11" t="n">
        <v>6946</v>
      </c>
      <c r="E22" s="13" t="n">
        <f aca="false">C22/D22</f>
        <v>306.053268067953</v>
      </c>
      <c r="F22" s="14" t="n">
        <f aca="false">E22/E21-1</f>
        <v>-0.0733891480794516</v>
      </c>
    </row>
    <row r="23" customFormat="false" ht="15" hidden="false" customHeight="false" outlineLevel="0" collapsed="false">
      <c r="A23" s="4" t="s">
        <v>41</v>
      </c>
      <c r="B23" s="11" t="n">
        <v>2435</v>
      </c>
      <c r="C23" s="12" t="n">
        <v>2312731</v>
      </c>
      <c r="D23" s="11" t="n">
        <v>6912</v>
      </c>
      <c r="E23" s="13" t="n">
        <f aca="false">C23/D23</f>
        <v>334.596498842593</v>
      </c>
      <c r="F23" s="14" t="n">
        <f aca="false">E23/E22-1</f>
        <v>0.0932622969681944</v>
      </c>
    </row>
    <row r="24" customFormat="false" ht="15" hidden="false" customHeight="false" outlineLevel="0" collapsed="false">
      <c r="A24" s="4" t="s">
        <v>42</v>
      </c>
      <c r="B24" s="11" t="n">
        <v>2336</v>
      </c>
      <c r="C24" s="12" t="n">
        <v>2225563</v>
      </c>
      <c r="D24" s="11" t="n">
        <v>6887</v>
      </c>
      <c r="E24" s="13" t="n">
        <f aca="false">C24/D24</f>
        <v>323.154203571947</v>
      </c>
      <c r="F24" s="14" t="n">
        <f aca="false">E24/E23-1</f>
        <v>-0.0341972952802125</v>
      </c>
    </row>
    <row r="25" customFormat="false" ht="15" hidden="false" customHeight="false" outlineLevel="0" collapsed="false">
      <c r="A25" s="4" t="s">
        <v>43</v>
      </c>
      <c r="B25" s="11" t="n">
        <v>3626</v>
      </c>
      <c r="C25" s="12" t="n">
        <v>1170576</v>
      </c>
      <c r="D25" s="11" t="n">
        <v>6869</v>
      </c>
      <c r="E25" s="13" t="n">
        <f aca="false">C25/D25</f>
        <v>170.414325229291</v>
      </c>
      <c r="F25" s="14" t="n">
        <f aca="false">E25/E24-1</f>
        <v>-0.472653230731223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4" min="3" style="0" width="14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0" t="s">
        <v>44</v>
      </c>
      <c r="B1" s="10" t="s">
        <v>17</v>
      </c>
      <c r="C1" s="10" t="s">
        <v>15</v>
      </c>
      <c r="D1" s="10" t="s">
        <v>45</v>
      </c>
      <c r="E1" s="10" t="s">
        <v>46</v>
      </c>
    </row>
    <row r="2" customFormat="false" ht="15" hidden="false" customHeight="false" outlineLevel="0" collapsed="false">
      <c r="A2" s="4" t="s">
        <v>47</v>
      </c>
      <c r="B2" s="11" t="n">
        <v>42088</v>
      </c>
      <c r="C2" s="11" t="n">
        <v>26797</v>
      </c>
      <c r="D2" s="12" t="n">
        <v>573.62</v>
      </c>
      <c r="E2" s="11" t="n">
        <v>7640</v>
      </c>
    </row>
    <row r="3" customFormat="false" ht="15" hidden="false" customHeight="false" outlineLevel="0" collapsed="false">
      <c r="A3" s="4" t="s">
        <v>48</v>
      </c>
      <c r="B3" s="11" t="n">
        <v>27564</v>
      </c>
      <c r="C3" s="11" t="n">
        <v>7804</v>
      </c>
      <c r="D3" s="12" t="n">
        <v>290.64</v>
      </c>
      <c r="E3" s="11" t="n">
        <v>3397</v>
      </c>
    </row>
    <row r="4" customFormat="false" ht="15" hidden="false" customHeight="false" outlineLevel="0" collapsed="false">
      <c r="A4" s="4" t="s">
        <v>49</v>
      </c>
      <c r="B4" s="11" t="n">
        <v>87343</v>
      </c>
      <c r="C4" s="11" t="n">
        <v>24321</v>
      </c>
      <c r="D4" s="12" t="n">
        <v>248.99</v>
      </c>
      <c r="E4" s="11" t="n">
        <v>3341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10" t="s">
        <v>50</v>
      </c>
      <c r="B1" s="10" t="s">
        <v>51</v>
      </c>
      <c r="C1" s="10" t="s">
        <v>52</v>
      </c>
      <c r="D1" s="3" t="s">
        <v>53</v>
      </c>
    </row>
    <row r="2" customFormat="false" ht="15" hidden="false" customHeight="false" outlineLevel="0" collapsed="false">
      <c r="A2" s="4" t="s">
        <v>54</v>
      </c>
      <c r="B2" s="11" t="n">
        <v>1533</v>
      </c>
      <c r="C2" s="12" t="n">
        <v>2047757</v>
      </c>
      <c r="D2" s="14" t="n">
        <f aca="false">B2/SUM($B$2:$B$7)</f>
        <v>0.263855421686747</v>
      </c>
    </row>
    <row r="3" customFormat="false" ht="15" hidden="false" customHeight="false" outlineLevel="0" collapsed="false">
      <c r="A3" s="4" t="s">
        <v>55</v>
      </c>
      <c r="B3" s="11" t="n">
        <v>1386</v>
      </c>
      <c r="C3" s="12" t="n">
        <v>1514289</v>
      </c>
      <c r="D3" s="14" t="n">
        <f aca="false">B3/SUM($B$2:$B$7)</f>
        <v>0.23855421686747</v>
      </c>
    </row>
    <row r="4" customFormat="false" ht="15" hidden="false" customHeight="false" outlineLevel="0" collapsed="false">
      <c r="A4" s="4" t="s">
        <v>56</v>
      </c>
      <c r="B4" s="11" t="n">
        <v>973</v>
      </c>
      <c r="C4" s="12" t="n">
        <v>1287221</v>
      </c>
      <c r="D4" s="14" t="n">
        <f aca="false">B4/SUM($B$2:$B$7)</f>
        <v>0.167469879518072</v>
      </c>
    </row>
    <row r="5" customFormat="false" ht="15" hidden="false" customHeight="false" outlineLevel="0" collapsed="false">
      <c r="A5" s="4" t="s">
        <v>57</v>
      </c>
      <c r="B5" s="11" t="n">
        <v>769</v>
      </c>
      <c r="C5" s="12" t="n">
        <v>1026921</v>
      </c>
      <c r="D5" s="14" t="n">
        <f aca="false">B5/SUM($B$2:$B$7)</f>
        <v>0.132358003442341</v>
      </c>
    </row>
    <row r="6" customFormat="false" ht="15" hidden="false" customHeight="false" outlineLevel="0" collapsed="false">
      <c r="A6" s="4" t="s">
        <v>58</v>
      </c>
      <c r="B6" s="11" t="n">
        <v>746</v>
      </c>
      <c r="C6" s="12" t="n">
        <v>981612</v>
      </c>
      <c r="D6" s="14" t="n">
        <f aca="false">B6/SUM($B$2:$B$7)</f>
        <v>0.128399311531842</v>
      </c>
    </row>
    <row r="7" customFormat="false" ht="15" hidden="false" customHeight="false" outlineLevel="0" collapsed="false">
      <c r="A7" s="4" t="s">
        <v>59</v>
      </c>
      <c r="B7" s="11" t="n">
        <v>403</v>
      </c>
      <c r="C7" s="12" t="n">
        <v>904258</v>
      </c>
      <c r="D7" s="14" t="n">
        <f aca="false">B7/SUM($B$2:$B$7)</f>
        <v>0.0693631669535284</v>
      </c>
    </row>
    <row r="8" customFormat="false" ht="15" hidden="false" customHeight="false" outlineLevel="0" collapsed="false">
      <c r="A8" s="15" t="s">
        <v>60</v>
      </c>
      <c r="B8" s="15" t="n">
        <f aca="false">SUM(B2:B7)</f>
        <v>5810</v>
      </c>
      <c r="C8" s="16" t="n">
        <f aca="false">SUM(C2:C7)</f>
        <v>7762058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0" t="s">
        <v>61</v>
      </c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</row>
    <row r="2" customFormat="false" ht="15" hidden="false" customHeight="false" outlineLevel="0" collapsed="false">
      <c r="A2" s="4" t="s">
        <v>67</v>
      </c>
      <c r="B2" s="11" t="n">
        <v>3447</v>
      </c>
      <c r="C2" s="11" t="n">
        <v>23.7</v>
      </c>
      <c r="D2" s="11" t="n">
        <v>76</v>
      </c>
      <c r="E2" s="11" t="n">
        <v>83.2</v>
      </c>
      <c r="F2" s="11" t="n">
        <v>578</v>
      </c>
    </row>
    <row r="3" customFormat="false" ht="15" hidden="false" customHeight="false" outlineLevel="0" collapsed="false">
      <c r="A3" s="4" t="s">
        <v>68</v>
      </c>
      <c r="B3" s="11" t="n">
        <v>21330</v>
      </c>
      <c r="C3" s="11" t="n">
        <v>11.8</v>
      </c>
      <c r="D3" s="11" t="n">
        <v>69</v>
      </c>
      <c r="E3" s="11" t="n">
        <v>97.4</v>
      </c>
      <c r="F3" s="11" t="n">
        <v>551</v>
      </c>
    </row>
    <row r="4" customFormat="false" ht="15" hidden="false" customHeight="false" outlineLevel="0" collapsed="false">
      <c r="A4" s="4" t="s">
        <v>69</v>
      </c>
      <c r="B4" s="11" t="n">
        <v>5245</v>
      </c>
      <c r="C4" s="11" t="n">
        <v>11.5</v>
      </c>
      <c r="D4" s="11" t="n">
        <v>60</v>
      </c>
      <c r="E4" s="11" t="n">
        <v>97.5</v>
      </c>
      <c r="F4" s="11" t="n">
        <v>132</v>
      </c>
    </row>
    <row r="5" customFormat="false" ht="15" hidden="false" customHeight="false" outlineLevel="0" collapsed="false">
      <c r="A5" s="4" t="s">
        <v>70</v>
      </c>
      <c r="B5" s="11" t="n">
        <v>26833</v>
      </c>
      <c r="C5" s="11" t="n">
        <v>11.5</v>
      </c>
      <c r="D5" s="11" t="n">
        <v>84</v>
      </c>
      <c r="E5" s="11" t="n">
        <v>97.7</v>
      </c>
      <c r="F5" s="11" t="n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0" t="s">
        <v>71</v>
      </c>
      <c r="B1" s="10" t="s">
        <v>72</v>
      </c>
      <c r="C1" s="10" t="s">
        <v>73</v>
      </c>
      <c r="D1" s="10" t="s">
        <v>74</v>
      </c>
      <c r="E1" s="10" t="s">
        <v>75</v>
      </c>
      <c r="F1" s="10" t="s">
        <v>76</v>
      </c>
    </row>
    <row r="2" customFormat="false" ht="15" hidden="false" customHeight="false" outlineLevel="0" collapsed="false">
      <c r="A2" s="4" t="s">
        <v>77</v>
      </c>
      <c r="B2" s="4" t="s">
        <v>78</v>
      </c>
      <c r="C2" s="4" t="s">
        <v>79</v>
      </c>
      <c r="D2" s="4" t="s">
        <v>80</v>
      </c>
      <c r="E2" s="11" t="n">
        <v>720</v>
      </c>
      <c r="F2" s="4" t="s">
        <v>81</v>
      </c>
    </row>
    <row r="3" customFormat="false" ht="15" hidden="false" customHeight="false" outlineLevel="0" collapsed="false">
      <c r="A3" s="4" t="s">
        <v>77</v>
      </c>
      <c r="B3" s="4" t="s">
        <v>82</v>
      </c>
      <c r="C3" s="4" t="s">
        <v>83</v>
      </c>
      <c r="D3" s="4" t="s">
        <v>80</v>
      </c>
      <c r="E3" s="11" t="n">
        <v>0</v>
      </c>
      <c r="F3" s="4" t="s">
        <v>84</v>
      </c>
    </row>
    <row r="4" customFormat="false" ht="15" hidden="false" customHeight="false" outlineLevel="0" collapsed="false">
      <c r="A4" s="4" t="s">
        <v>77</v>
      </c>
      <c r="B4" s="4" t="s">
        <v>85</v>
      </c>
      <c r="C4" s="4" t="s">
        <v>86</v>
      </c>
      <c r="D4" s="4" t="s">
        <v>80</v>
      </c>
      <c r="E4" s="11" t="n">
        <v>180</v>
      </c>
      <c r="F4" s="4" t="s">
        <v>81</v>
      </c>
    </row>
    <row r="5" customFormat="false" ht="15" hidden="false" customHeight="false" outlineLevel="0" collapsed="false">
      <c r="A5" s="4" t="s">
        <v>77</v>
      </c>
      <c r="B5" s="4" t="s">
        <v>87</v>
      </c>
      <c r="C5" s="4" t="s">
        <v>88</v>
      </c>
      <c r="D5" s="4" t="s">
        <v>80</v>
      </c>
      <c r="E5" s="11" t="n">
        <v>240</v>
      </c>
      <c r="F5" s="4" t="s">
        <v>81</v>
      </c>
    </row>
    <row r="6" customFormat="false" ht="15" hidden="false" customHeight="false" outlineLevel="0" collapsed="false">
      <c r="A6" s="4" t="s">
        <v>77</v>
      </c>
      <c r="B6" s="4" t="s">
        <v>89</v>
      </c>
      <c r="C6" s="4" t="s">
        <v>90</v>
      </c>
      <c r="D6" s="4" t="s">
        <v>91</v>
      </c>
      <c r="E6" s="11" t="n">
        <v>0</v>
      </c>
      <c r="F6" s="4" t="s">
        <v>84</v>
      </c>
    </row>
    <row r="7" customFormat="false" ht="15" hidden="false" customHeight="false" outlineLevel="0" collapsed="false">
      <c r="A7" s="4" t="s">
        <v>77</v>
      </c>
      <c r="B7" s="4" t="s">
        <v>92</v>
      </c>
      <c r="C7" s="4" t="s">
        <v>93</v>
      </c>
      <c r="D7" s="4" t="s">
        <v>80</v>
      </c>
      <c r="E7" s="11" t="n">
        <v>180</v>
      </c>
      <c r="F7" s="4" t="s">
        <v>81</v>
      </c>
    </row>
    <row r="8" customFormat="false" ht="15" hidden="false" customHeight="false" outlineLevel="0" collapsed="false">
      <c r="A8" s="4" t="s">
        <v>77</v>
      </c>
      <c r="B8" s="4" t="s">
        <v>94</v>
      </c>
      <c r="C8" s="4" t="s">
        <v>95</v>
      </c>
      <c r="D8" s="4" t="s">
        <v>91</v>
      </c>
      <c r="E8" s="11" t="n">
        <v>194</v>
      </c>
      <c r="F8" s="4" t="s">
        <v>81</v>
      </c>
    </row>
    <row r="9" customFormat="false" ht="15" hidden="false" customHeight="false" outlineLevel="0" collapsed="false">
      <c r="A9" s="4" t="s">
        <v>77</v>
      </c>
      <c r="B9" s="4" t="s">
        <v>96</v>
      </c>
      <c r="C9" s="4" t="s">
        <v>97</v>
      </c>
      <c r="D9" s="4" t="s">
        <v>98</v>
      </c>
      <c r="E9" s="11" t="n">
        <v>1200</v>
      </c>
      <c r="F9" s="4" t="s">
        <v>81</v>
      </c>
    </row>
    <row r="10" customFormat="false" ht="15" hidden="false" customHeight="false" outlineLevel="0" collapsed="false">
      <c r="A10" s="4" t="s">
        <v>77</v>
      </c>
      <c r="B10" s="4" t="s">
        <v>99</v>
      </c>
      <c r="C10" s="4" t="s">
        <v>100</v>
      </c>
      <c r="D10" s="4" t="s">
        <v>91</v>
      </c>
      <c r="E10" s="11" t="n">
        <v>58</v>
      </c>
      <c r="F10" s="4" t="s">
        <v>81</v>
      </c>
    </row>
    <row r="11" customFormat="false" ht="15" hidden="false" customHeight="false" outlineLevel="0" collapsed="false">
      <c r="A11" s="4" t="s">
        <v>77</v>
      </c>
      <c r="B11" s="4" t="s">
        <v>101</v>
      </c>
      <c r="C11" s="4" t="s">
        <v>102</v>
      </c>
      <c r="D11" s="4" t="s">
        <v>98</v>
      </c>
      <c r="E11" s="11" t="n">
        <v>0</v>
      </c>
      <c r="F11" s="4" t="s">
        <v>84</v>
      </c>
    </row>
    <row r="12" customFormat="false" ht="15" hidden="false" customHeight="false" outlineLevel="0" collapsed="false">
      <c r="A12" s="4" t="s">
        <v>77</v>
      </c>
      <c r="B12" s="4" t="s">
        <v>103</v>
      </c>
      <c r="C12" s="4" t="s">
        <v>104</v>
      </c>
      <c r="D12" s="4" t="s">
        <v>80</v>
      </c>
      <c r="E12" s="11" t="n">
        <v>60</v>
      </c>
      <c r="F12" s="4" t="s">
        <v>81</v>
      </c>
    </row>
    <row r="13" customFormat="false" ht="15" hidden="false" customHeight="false" outlineLevel="0" collapsed="false">
      <c r="A13" s="4" t="s">
        <v>77</v>
      </c>
      <c r="B13" s="4" t="s">
        <v>105</v>
      </c>
      <c r="C13" s="4" t="s">
        <v>106</v>
      </c>
      <c r="D13" s="4" t="s">
        <v>91</v>
      </c>
      <c r="E13" s="11" t="n">
        <v>240</v>
      </c>
      <c r="F13" s="4" t="s">
        <v>81</v>
      </c>
    </row>
    <row r="14" customFormat="false" ht="15" hidden="false" customHeight="false" outlineLevel="0" collapsed="false">
      <c r="A14" s="4" t="s">
        <v>77</v>
      </c>
      <c r="B14" s="4" t="s">
        <v>107</v>
      </c>
      <c r="C14" s="4" t="s">
        <v>108</v>
      </c>
      <c r="D14" s="4" t="s">
        <v>91</v>
      </c>
      <c r="E14" s="11" t="n">
        <v>60</v>
      </c>
      <c r="F14" s="4" t="s">
        <v>81</v>
      </c>
    </row>
    <row r="15" customFormat="false" ht="15" hidden="false" customHeight="false" outlineLevel="0" collapsed="false">
      <c r="A15" s="4" t="s">
        <v>77</v>
      </c>
      <c r="B15" s="4" t="s">
        <v>109</v>
      </c>
      <c r="C15" s="4" t="s">
        <v>110</v>
      </c>
      <c r="D15" s="4" t="s">
        <v>98</v>
      </c>
      <c r="E15" s="11" t="n">
        <v>180</v>
      </c>
      <c r="F15" s="4" t="s">
        <v>81</v>
      </c>
    </row>
    <row r="16" customFormat="false" ht="15" hidden="false" customHeight="false" outlineLevel="0" collapsed="false">
      <c r="A16" s="4" t="s">
        <v>77</v>
      </c>
      <c r="B16" s="4" t="s">
        <v>111</v>
      </c>
      <c r="C16" s="4" t="s">
        <v>112</v>
      </c>
      <c r="D16" s="4" t="s">
        <v>113</v>
      </c>
      <c r="E16" s="11" t="n">
        <v>8</v>
      </c>
      <c r="F16" s="4" t="s">
        <v>81</v>
      </c>
    </row>
    <row r="17" customFormat="false" ht="15" hidden="false" customHeight="false" outlineLevel="0" collapsed="false">
      <c r="A17" s="4" t="s">
        <v>114</v>
      </c>
      <c r="B17" s="4" t="s">
        <v>78</v>
      </c>
      <c r="C17" s="4" t="s">
        <v>79</v>
      </c>
      <c r="D17" s="4" t="s">
        <v>80</v>
      </c>
      <c r="E17" s="11" t="n">
        <v>0</v>
      </c>
      <c r="F17" s="4" t="s">
        <v>84</v>
      </c>
    </row>
    <row r="18" customFormat="false" ht="15" hidden="false" customHeight="false" outlineLevel="0" collapsed="false">
      <c r="A18" s="4" t="s">
        <v>114</v>
      </c>
      <c r="B18" s="4" t="s">
        <v>82</v>
      </c>
      <c r="C18" s="4" t="s">
        <v>83</v>
      </c>
      <c r="D18" s="4" t="s">
        <v>80</v>
      </c>
      <c r="E18" s="11" t="n">
        <v>0</v>
      </c>
      <c r="F18" s="4" t="s">
        <v>84</v>
      </c>
    </row>
    <row r="19" customFormat="false" ht="15" hidden="false" customHeight="false" outlineLevel="0" collapsed="false">
      <c r="A19" s="4" t="s">
        <v>114</v>
      </c>
      <c r="B19" s="4" t="s">
        <v>85</v>
      </c>
      <c r="C19" s="4" t="s">
        <v>86</v>
      </c>
      <c r="D19" s="4" t="s">
        <v>80</v>
      </c>
      <c r="E19" s="11" t="n">
        <v>0</v>
      </c>
      <c r="F19" s="4" t="s">
        <v>84</v>
      </c>
    </row>
    <row r="20" customFormat="false" ht="15" hidden="false" customHeight="false" outlineLevel="0" collapsed="false">
      <c r="A20" s="4" t="s">
        <v>114</v>
      </c>
      <c r="B20" s="4" t="s">
        <v>87</v>
      </c>
      <c r="C20" s="4" t="s">
        <v>88</v>
      </c>
      <c r="D20" s="4" t="s">
        <v>80</v>
      </c>
      <c r="E20" s="11" t="n">
        <v>0</v>
      </c>
      <c r="F20" s="4" t="s">
        <v>84</v>
      </c>
    </row>
    <row r="21" customFormat="false" ht="15" hidden="false" customHeight="false" outlineLevel="0" collapsed="false">
      <c r="A21" s="4" t="s">
        <v>114</v>
      </c>
      <c r="B21" s="4" t="s">
        <v>89</v>
      </c>
      <c r="C21" s="4" t="s">
        <v>90</v>
      </c>
      <c r="D21" s="4" t="s">
        <v>91</v>
      </c>
      <c r="E21" s="11" t="n">
        <v>0</v>
      </c>
      <c r="F21" s="4" t="s">
        <v>84</v>
      </c>
    </row>
    <row r="22" customFormat="false" ht="15" hidden="false" customHeight="false" outlineLevel="0" collapsed="false">
      <c r="A22" s="4" t="s">
        <v>114</v>
      </c>
      <c r="B22" s="4" t="s">
        <v>92</v>
      </c>
      <c r="C22" s="4" t="s">
        <v>93</v>
      </c>
      <c r="D22" s="4" t="s">
        <v>80</v>
      </c>
      <c r="E22" s="11" t="n">
        <v>0</v>
      </c>
      <c r="F22" s="4" t="s">
        <v>84</v>
      </c>
    </row>
    <row r="23" customFormat="false" ht="15" hidden="false" customHeight="false" outlineLevel="0" collapsed="false">
      <c r="A23" s="4" t="s">
        <v>114</v>
      </c>
      <c r="B23" s="4" t="s">
        <v>94</v>
      </c>
      <c r="C23" s="4" t="s">
        <v>95</v>
      </c>
      <c r="D23" s="4" t="s">
        <v>91</v>
      </c>
      <c r="E23" s="11" t="n">
        <v>0</v>
      </c>
      <c r="F23" s="4" t="s">
        <v>84</v>
      </c>
    </row>
    <row r="24" customFormat="false" ht="15" hidden="false" customHeight="false" outlineLevel="0" collapsed="false">
      <c r="A24" s="4" t="s">
        <v>114</v>
      </c>
      <c r="B24" s="4" t="s">
        <v>96</v>
      </c>
      <c r="C24" s="4" t="s">
        <v>97</v>
      </c>
      <c r="D24" s="4" t="s">
        <v>98</v>
      </c>
      <c r="E24" s="11" t="n">
        <v>0</v>
      </c>
      <c r="F24" s="4" t="s">
        <v>84</v>
      </c>
    </row>
    <row r="25" customFormat="false" ht="15" hidden="false" customHeight="false" outlineLevel="0" collapsed="false">
      <c r="A25" s="4" t="s">
        <v>114</v>
      </c>
      <c r="B25" s="4" t="s">
        <v>99</v>
      </c>
      <c r="C25" s="4" t="s">
        <v>100</v>
      </c>
      <c r="D25" s="4" t="s">
        <v>91</v>
      </c>
      <c r="E25" s="11" t="n">
        <v>0</v>
      </c>
      <c r="F25" s="4" t="s">
        <v>84</v>
      </c>
    </row>
    <row r="26" customFormat="false" ht="15" hidden="false" customHeight="false" outlineLevel="0" collapsed="false">
      <c r="A26" s="4" t="s">
        <v>114</v>
      </c>
      <c r="B26" s="4" t="s">
        <v>101</v>
      </c>
      <c r="C26" s="4" t="s">
        <v>102</v>
      </c>
      <c r="D26" s="4" t="s">
        <v>98</v>
      </c>
      <c r="E26" s="11" t="n">
        <v>0</v>
      </c>
      <c r="F26" s="4" t="s">
        <v>84</v>
      </c>
    </row>
    <row r="27" customFormat="false" ht="15" hidden="false" customHeight="false" outlineLevel="0" collapsed="false">
      <c r="A27" s="4" t="s">
        <v>114</v>
      </c>
      <c r="B27" s="4" t="s">
        <v>103</v>
      </c>
      <c r="C27" s="4" t="s">
        <v>104</v>
      </c>
      <c r="D27" s="4" t="s">
        <v>80</v>
      </c>
      <c r="E27" s="11" t="n">
        <v>0</v>
      </c>
      <c r="F27" s="4" t="s">
        <v>84</v>
      </c>
    </row>
    <row r="28" customFormat="false" ht="15" hidden="false" customHeight="false" outlineLevel="0" collapsed="false">
      <c r="A28" s="4" t="s">
        <v>114</v>
      </c>
      <c r="B28" s="4" t="s">
        <v>105</v>
      </c>
      <c r="C28" s="4" t="s">
        <v>106</v>
      </c>
      <c r="D28" s="4" t="s">
        <v>91</v>
      </c>
      <c r="E28" s="11" t="n">
        <v>0</v>
      </c>
      <c r="F28" s="4" t="s">
        <v>84</v>
      </c>
    </row>
    <row r="29" customFormat="false" ht="15" hidden="false" customHeight="false" outlineLevel="0" collapsed="false">
      <c r="A29" s="4" t="s">
        <v>114</v>
      </c>
      <c r="B29" s="4" t="s">
        <v>107</v>
      </c>
      <c r="C29" s="4" t="s">
        <v>108</v>
      </c>
      <c r="D29" s="4" t="s">
        <v>91</v>
      </c>
      <c r="E29" s="11" t="n">
        <v>0</v>
      </c>
      <c r="F29" s="4" t="s">
        <v>84</v>
      </c>
    </row>
    <row r="30" customFormat="false" ht="15" hidden="false" customHeight="false" outlineLevel="0" collapsed="false">
      <c r="A30" s="4" t="s">
        <v>114</v>
      </c>
      <c r="B30" s="4" t="s">
        <v>109</v>
      </c>
      <c r="C30" s="4" t="s">
        <v>110</v>
      </c>
      <c r="D30" s="4" t="s">
        <v>98</v>
      </c>
      <c r="E30" s="11" t="n">
        <v>0</v>
      </c>
      <c r="F30" s="4" t="s">
        <v>84</v>
      </c>
    </row>
    <row r="31" customFormat="false" ht="15" hidden="false" customHeight="false" outlineLevel="0" collapsed="false">
      <c r="A31" s="4" t="s">
        <v>114</v>
      </c>
      <c r="B31" s="4" t="s">
        <v>111</v>
      </c>
      <c r="C31" s="4" t="s">
        <v>112</v>
      </c>
      <c r="D31" s="4" t="s">
        <v>113</v>
      </c>
      <c r="E31" s="11" t="n">
        <v>0</v>
      </c>
      <c r="F31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2026-09-29T05:26:50Z</dcterms:created>
  <dc:creator>openpyxl</dc:creator>
  <dc:description/>
  <dc:language>en-US</dc:language>
  <cp:lastModifiedBy/>
  <dcterms:modified xsi:type="dcterms:W3CDTF">2026-09-29T05:28:03Z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